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_D\etapa-analisis_pcsmote\resultados\"/>
    </mc:Choice>
  </mc:AlternateContent>
  <xr:revisionPtr revIDLastSave="0" documentId="8_{4A78C4F9-D753-4937-A36E-C9B2EDCC4D7B}" xr6:coauthVersionLast="47" xr6:coauthVersionMax="47" xr10:uidLastSave="{00000000-0000-0000-0000-000000000000}"/>
  <bookViews>
    <workbookView xWindow="-105" yWindow="0" windowWidth="19410" windowHeight="20985" xr2:uid="{27EB1403-4DE2-4C0A-BDBC-323C495BD8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9" i="1"/>
  <c r="F11" i="1"/>
  <c r="E13" i="1"/>
  <c r="E6" i="1"/>
  <c r="D7" i="1"/>
  <c r="D8" i="1"/>
  <c r="F8" i="1" s="1"/>
  <c r="D9" i="1"/>
  <c r="D10" i="1"/>
  <c r="F10" i="1" s="1"/>
  <c r="D11" i="1"/>
  <c r="D12" i="1"/>
  <c r="F12" i="1" s="1"/>
  <c r="D13" i="1"/>
  <c r="F13" i="1" s="1"/>
  <c r="D6" i="1"/>
  <c r="F6" i="1" s="1"/>
  <c r="C7" i="1"/>
  <c r="E7" i="1" s="1"/>
  <c r="C8" i="1"/>
  <c r="E8" i="1" s="1"/>
  <c r="C9" i="1"/>
  <c r="E9" i="1" s="1"/>
  <c r="G9" i="1" s="1"/>
  <c r="C10" i="1"/>
  <c r="E10" i="1" s="1"/>
  <c r="C11" i="1"/>
  <c r="E11" i="1" s="1"/>
  <c r="G11" i="1" s="1"/>
  <c r="C12" i="1"/>
  <c r="E12" i="1" s="1"/>
  <c r="G12" i="1" s="1"/>
  <c r="C13" i="1"/>
  <c r="C6" i="1"/>
  <c r="C2" i="1"/>
  <c r="G10" i="1" l="1"/>
  <c r="G8" i="1"/>
  <c r="G7" i="1"/>
  <c r="G6" i="1"/>
  <c r="G13" i="1"/>
</calcChain>
</file>

<file path=xl/sharedStrings.xml><?xml version="1.0" encoding="utf-8"?>
<sst xmlns="http://schemas.openxmlformats.org/spreadsheetml/2006/main" count="10" uniqueCount="10">
  <si>
    <t>mayoritarios</t>
  </si>
  <si>
    <t>minoritarios</t>
  </si>
  <si>
    <t>vecindario</t>
  </si>
  <si>
    <t>log 10 (2)</t>
  </si>
  <si>
    <t>pmin</t>
  </si>
  <si>
    <t>pmaj</t>
  </si>
  <si>
    <t>k (cant vecinos)</t>
  </si>
  <si>
    <t>-pmin*(LOG2(pmin))</t>
  </si>
  <si>
    <t>-pmaj*(LOG2(pmaj))</t>
  </si>
  <si>
    <t>H(s) entropia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</si>
</sst>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3183-712B-4BAA-80F9-46E770B2FFEA}">
  <sheetPr>
    <pageSetUpPr fitToPage="1"/>
  </sheetPr>
  <dimension ref="A1:G13"/>
  <sheetViews>
    <sheetView tabSelected="1" workbookViewId="0">
      <selection activeCell="E18" sqref="E18"/>
    </sheetView>
  </sheetViews>
  <sheetFormatPr baseColWidth="10" defaultRowHeight="15" x14ac:dyDescent="0.25"/>
  <cols>
    <col min="2" max="2" width="12.28515625" bestFit="1" customWidth="1"/>
    <col min="5" max="5" width="29.42578125" bestFit="1" customWidth="1"/>
    <col min="6" max="6" width="19.42578125" bestFit="1" customWidth="1"/>
    <col min="7" max="7" width="17.140625" bestFit="1" customWidth="1"/>
  </cols>
  <sheetData>
    <row r="1" spans="1:7" x14ac:dyDescent="0.25">
      <c r="A1" t="s">
        <v>6</v>
      </c>
      <c r="C1" s="1" t="s">
        <v>3</v>
      </c>
    </row>
    <row r="2" spans="1:7" x14ac:dyDescent="0.25">
      <c r="A2">
        <v>7</v>
      </c>
      <c r="C2">
        <f>LOG10(2)</f>
        <v>0.3010299956639812</v>
      </c>
    </row>
    <row r="4" spans="1:7" x14ac:dyDescent="0.25">
      <c r="A4" s="3" t="s">
        <v>2</v>
      </c>
      <c r="B4" s="3"/>
    </row>
    <row r="5" spans="1:7" x14ac:dyDescent="0.25">
      <c r="A5" s="1" t="s">
        <v>1</v>
      </c>
      <c r="B5" s="1" t="s">
        <v>0</v>
      </c>
      <c r="C5" s="1" t="s">
        <v>4</v>
      </c>
      <c r="D5" s="1" t="s">
        <v>5</v>
      </c>
      <c r="E5" s="4" t="s">
        <v>7</v>
      </c>
      <c r="F5" s="5" t="s">
        <v>8</v>
      </c>
      <c r="G5" s="6" t="s">
        <v>9</v>
      </c>
    </row>
    <row r="6" spans="1:7" x14ac:dyDescent="0.25">
      <c r="A6" s="1">
        <v>0</v>
      </c>
      <c r="B6" s="1">
        <v>7</v>
      </c>
      <c r="C6" s="2">
        <f>A6/A$2</f>
        <v>0</v>
      </c>
      <c r="D6" s="2">
        <f>B6/A$2</f>
        <v>1</v>
      </c>
      <c r="E6" s="2">
        <f>C6*(IF(ISERROR(LOG10(C6)),0,LOG10(C6))/C$2)</f>
        <v>0</v>
      </c>
      <c r="F6" s="2">
        <f>D6*(LOG10(D6)/C$2)</f>
        <v>0</v>
      </c>
      <c r="G6" s="2">
        <f>-E6-F6</f>
        <v>0</v>
      </c>
    </row>
    <row r="7" spans="1:7" x14ac:dyDescent="0.25">
      <c r="A7" s="1">
        <v>1</v>
      </c>
      <c r="B7" s="1">
        <v>6</v>
      </c>
      <c r="C7" s="2">
        <f>A7/A$2</f>
        <v>0.14285714285714285</v>
      </c>
      <c r="D7" s="2">
        <f>B7/A$2</f>
        <v>0.8571428571428571</v>
      </c>
      <c r="E7" s="2">
        <f>C7*(IF(ISERROR(LOG10(C7)),0,LOG10(C7))/C$2)</f>
        <v>-0.40105070315108626</v>
      </c>
      <c r="F7" s="2">
        <f>D7*(LOG10(D7)/C$2)</f>
        <v>-0.19062207543124113</v>
      </c>
      <c r="G7" s="2">
        <f t="shared" ref="G7:G13" si="0">-E7-F7</f>
        <v>0.59167277858232736</v>
      </c>
    </row>
    <row r="8" spans="1:7" x14ac:dyDescent="0.25">
      <c r="A8" s="1">
        <v>2</v>
      </c>
      <c r="B8" s="1">
        <v>5</v>
      </c>
      <c r="C8" s="2">
        <f>A8/A$2</f>
        <v>0.2857142857142857</v>
      </c>
      <c r="D8" s="2">
        <f>B8/A$2</f>
        <v>0.7142857142857143</v>
      </c>
      <c r="E8" s="2">
        <f>C8*(IF(ISERROR(LOG10(C8)),0,LOG10(C8))/C$2)</f>
        <v>-0.51638712058788683</v>
      </c>
      <c r="F8" s="2">
        <f>D8*(LOG10(D8)/C$2)</f>
        <v>-0.34673344797874411</v>
      </c>
      <c r="G8" s="2">
        <f t="shared" si="0"/>
        <v>0.863120568566631</v>
      </c>
    </row>
    <row r="9" spans="1:7" x14ac:dyDescent="0.25">
      <c r="A9" s="1">
        <v>3</v>
      </c>
      <c r="B9" s="1">
        <v>4</v>
      </c>
      <c r="C9" s="2">
        <f>A9/A$2</f>
        <v>0.42857142857142855</v>
      </c>
      <c r="D9" s="2">
        <f>B9/A$2</f>
        <v>0.5714285714285714</v>
      </c>
      <c r="E9" s="2">
        <f>C9*(IF(ISERROR(LOG10(C9)),0,LOG10(C9))/C$2)</f>
        <v>-0.52388246628704915</v>
      </c>
      <c r="F9" s="2">
        <f>D9*(LOG10(D9)/C$2)</f>
        <v>-0.46134566974720237</v>
      </c>
      <c r="G9" s="2">
        <f t="shared" si="0"/>
        <v>0.98522813603425152</v>
      </c>
    </row>
    <row r="10" spans="1:7" x14ac:dyDescent="0.25">
      <c r="A10" s="1">
        <v>4</v>
      </c>
      <c r="B10" s="1">
        <v>3</v>
      </c>
      <c r="C10" s="2">
        <f>A10/A$2</f>
        <v>0.5714285714285714</v>
      </c>
      <c r="D10" s="2">
        <f>B10/A$2</f>
        <v>0.42857142857142855</v>
      </c>
      <c r="E10" s="2">
        <f>C10*(IF(ISERROR(LOG10(C10)),0,LOG10(C10))/C$2)</f>
        <v>-0.46134566974720237</v>
      </c>
      <c r="F10" s="2">
        <f>D10*(LOG10(D10)/C$2)</f>
        <v>-0.52388246628704915</v>
      </c>
      <c r="G10" s="2">
        <f t="shared" si="0"/>
        <v>0.98522813603425152</v>
      </c>
    </row>
    <row r="11" spans="1:7" x14ac:dyDescent="0.25">
      <c r="A11" s="1">
        <v>5</v>
      </c>
      <c r="B11" s="1">
        <v>2</v>
      </c>
      <c r="C11" s="2">
        <f>A11/A$2</f>
        <v>0.7142857142857143</v>
      </c>
      <c r="D11" s="2">
        <f>B11/A$2</f>
        <v>0.2857142857142857</v>
      </c>
      <c r="E11" s="2">
        <f>C11*(IF(ISERROR(LOG10(C11)),0,LOG10(C11))/C$2)</f>
        <v>-0.34673344797874411</v>
      </c>
      <c r="F11" s="2">
        <f>D11*(LOG10(D11)/C$2)</f>
        <v>-0.51638712058788683</v>
      </c>
      <c r="G11" s="2">
        <f t="shared" si="0"/>
        <v>0.863120568566631</v>
      </c>
    </row>
    <row r="12" spans="1:7" x14ac:dyDescent="0.25">
      <c r="A12" s="1">
        <v>6</v>
      </c>
      <c r="B12" s="1">
        <v>1</v>
      </c>
      <c r="C12" s="2">
        <f>A12/A$2</f>
        <v>0.8571428571428571</v>
      </c>
      <c r="D12" s="2">
        <f>B12/A$2</f>
        <v>0.14285714285714285</v>
      </c>
      <c r="E12" s="2">
        <f>C12*(IF(ISERROR(LOG10(C12)),0,LOG10(C12))/C$2)</f>
        <v>-0.19062207543124113</v>
      </c>
      <c r="F12" s="2">
        <f>D12*(LOG10(D12)/C$2)</f>
        <v>-0.40105070315108626</v>
      </c>
      <c r="G12" s="2">
        <f t="shared" si="0"/>
        <v>0.59167277858232736</v>
      </c>
    </row>
    <row r="13" spans="1:7" x14ac:dyDescent="0.25">
      <c r="A13" s="1">
        <v>7</v>
      </c>
      <c r="B13" s="1">
        <v>0</v>
      </c>
      <c r="C13" s="2">
        <f>A13/A$2</f>
        <v>1</v>
      </c>
      <c r="D13" s="2">
        <f>B13/A$2</f>
        <v>0</v>
      </c>
      <c r="E13" s="2">
        <f>C13*(IF(ISERROR(LOG10(C13)),0,LOG10(C13))/C$2)</f>
        <v>0</v>
      </c>
      <c r="F13" s="2">
        <f>D13*(IF(ISERROR(LOG10(D13)),0,LOG10(D13))/C$2)</f>
        <v>0</v>
      </c>
      <c r="G13" s="2">
        <f t="shared" si="0"/>
        <v>0</v>
      </c>
    </row>
  </sheetData>
  <mergeCells count="1">
    <mergeCell ref="A4:B4"/>
  </mergeCells>
  <pageMargins left="0.25" right="0.25" top="0.75" bottom="0.75" header="0.3" footer="0.3"/>
  <pageSetup paperSize="9" scale="8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NATELLO MEDINA</dc:creator>
  <cp:lastModifiedBy>DANTE NATELLO MEDINA</cp:lastModifiedBy>
  <cp:lastPrinted>2026-01-30T02:36:45Z</cp:lastPrinted>
  <dcterms:created xsi:type="dcterms:W3CDTF">2026-01-30T01:35:48Z</dcterms:created>
  <dcterms:modified xsi:type="dcterms:W3CDTF">2026-01-30T02:45:37Z</dcterms:modified>
</cp:coreProperties>
</file>